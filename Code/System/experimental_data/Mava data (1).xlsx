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<sst xmlns="http://schemas.openxmlformats.org/spreadsheetml/2006/main" count="14" uniqueCount="8">
  <si>
    <t>Control Before</t>
  </si>
  <si>
    <t>Control Mava (acute)</t>
  </si>
  <si>
    <t>Control Mava (24 h)</t>
  </si>
  <si>
    <t>H251N Before</t>
  </si>
  <si>
    <t>H251N Mava (acute)</t>
  </si>
  <si>
    <t>H251N Mava (24 h)</t>
  </si>
  <si>
    <t>Note: these are not scaled exactly how the initial data are</t>
  </si>
  <si>
    <t>normalized by CSA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</si>
</sst>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sz val="12.0"/>
      <color rgb="FF000000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/>
    </xf>
    <xf borderId="0" fillId="0" fontId="4" numFmtId="11" xfId="0" applyAlignment="1" applyFont="1" applyNumberFormat="1">
      <alignment horizontal="right" readingOrder="0"/>
    </xf>
    <xf borderId="0" fillId="0" fontId="2" numFmtId="11" xfId="0" applyFont="1" applyNumberFormat="1"/>
    <xf borderId="0" fillId="0" fontId="2" numFmtId="0" xfId="0" applyFont="1"/>
    <xf borderId="0" fillId="0" fontId="4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8.20E+02, 3.73E+02, 1.18E+02, 7.89E+02, 0…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Sheet1!$K$1:$K$2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Sheet1!$K$3:$K$48</c:f>
              <c:numCache/>
            </c:numRef>
          </c:val>
          <c:smooth val="0"/>
        </c:ser>
        <c:ser>
          <c:idx val="1"/>
          <c:order val="1"/>
          <c:tx>
            <c:strRef>
              <c:f>Sheet1!$L$1:$L$2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Sheet1!$L$3:$L$48</c:f>
              <c:numCache/>
            </c:numRef>
          </c:val>
          <c:smooth val="0"/>
        </c:ser>
        <c:ser>
          <c:idx val="2"/>
          <c:order val="2"/>
          <c:tx>
            <c:strRef>
              <c:f>Sheet1!$M$1:$M$2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Sheet1!$M$3:$M$48</c:f>
              <c:numCache/>
            </c:numRef>
          </c:val>
          <c:smooth val="0"/>
        </c:ser>
        <c:ser>
          <c:idx val="3"/>
          <c:order val="3"/>
          <c:tx>
            <c:strRef>
              <c:f>Sheet1!$N$1:$N$2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Sheet1!$N$3:$N$48</c:f>
              <c:numCache/>
            </c:numRef>
          </c:val>
          <c:smooth val="0"/>
        </c:ser>
        <c:ser>
          <c:idx val="4"/>
          <c:order val="4"/>
          <c:tx>
            <c:strRef>
              <c:f>Sheet1!$O$1:$O$2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Sheet1!$O$3:$O$48</c:f>
              <c:numCache/>
            </c:numRef>
          </c:val>
          <c:smooth val="0"/>
        </c:ser>
        <c:ser>
          <c:idx val="5"/>
          <c:order val="5"/>
          <c:tx>
            <c:strRef>
              <c:f>Sheet1!$P$1:$P$2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Sheet1!$P$3:$P$48</c:f>
              <c:numCache/>
            </c:numRef>
          </c:val>
          <c:smooth val="0"/>
        </c:ser>
        <c:axId val="801171916"/>
        <c:axId val="264315639"/>
      </c:lineChart>
      <c:catAx>
        <c:axId val="8011719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4315639"/>
      </c:catAx>
      <c:valAx>
        <c:axId val="2643156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11719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J1" s="4">
        <v>17.6532106</v>
      </c>
      <c r="K1" s="2" t="s">
        <v>0</v>
      </c>
      <c r="L1" s="2" t="s">
        <v>1</v>
      </c>
      <c r="M1" s="2" t="s">
        <v>2</v>
      </c>
      <c r="N1" s="2" t="s">
        <v>3</v>
      </c>
      <c r="O1" s="2" t="s">
        <v>4</v>
      </c>
      <c r="P1" s="2" t="s">
        <v>5</v>
      </c>
      <c r="Q1" s="4">
        <v>19.709915</v>
      </c>
    </row>
    <row r="2">
      <c r="A2" s="5">
        <v>0.032051282</v>
      </c>
      <c r="B2" s="6">
        <v>4.34241E-8</v>
      </c>
      <c r="C2" s="6">
        <v>1.97452E-8</v>
      </c>
      <c r="D2" s="6">
        <v>6.25395E-9</v>
      </c>
      <c r="E2" s="6">
        <v>4.66728E-8</v>
      </c>
      <c r="F2" s="5">
        <v>0.0</v>
      </c>
      <c r="G2" s="6">
        <v>2.30364E-8</v>
      </c>
      <c r="J2" s="3" t="s">
        <v>7</v>
      </c>
      <c r="K2" s="7">
        <f t="shared" ref="K2:K42" si="1">B2*1000000000000/(J$1*3)</f>
        <v>819.9471659</v>
      </c>
      <c r="L2" s="7">
        <f t="shared" ref="L2:L42" si="2">C2*1000000000000/(J$1*3)</f>
        <v>372.8349184</v>
      </c>
      <c r="M2" s="7">
        <f t="shared" ref="M2:M42" si="3">D2*1000000000000/(J$1*3)</f>
        <v>118.0890008</v>
      </c>
      <c r="N2" s="7">
        <f t="shared" ref="N2:N47" si="4">E2*1000000000000/(Q$1*3)</f>
        <v>789.3286196</v>
      </c>
      <c r="O2" s="8">
        <f t="shared" ref="O2:O45" si="5">F2*1000000000000/(Q$1*3)</f>
        <v>0</v>
      </c>
      <c r="P2" s="7">
        <f t="shared" ref="P2:P47" si="6">G2*1000000000000/(Q$1*3)</f>
        <v>389.5907212</v>
      </c>
    </row>
    <row r="3">
      <c r="A3" s="5">
        <v>0.064102564</v>
      </c>
      <c r="B3" s="6">
        <v>3.24665E-8</v>
      </c>
      <c r="C3" s="6">
        <v>8.82648E-9</v>
      </c>
      <c r="D3" s="6">
        <v>2.74853E-9</v>
      </c>
      <c r="E3" s="6">
        <v>6.90539E-9</v>
      </c>
      <c r="F3" s="6">
        <v>4.91575E-9</v>
      </c>
      <c r="G3" s="6">
        <v>1.25302E-8</v>
      </c>
      <c r="K3" s="7">
        <f t="shared" si="1"/>
        <v>613.0424041</v>
      </c>
      <c r="L3" s="7">
        <f t="shared" si="2"/>
        <v>166.6643007</v>
      </c>
      <c r="M3" s="7">
        <f t="shared" si="3"/>
        <v>51.8985859</v>
      </c>
      <c r="N3" s="7">
        <f t="shared" si="4"/>
        <v>116.7836932</v>
      </c>
      <c r="O3" s="7">
        <f t="shared" si="5"/>
        <v>83.13497716</v>
      </c>
      <c r="P3" s="7">
        <f t="shared" si="6"/>
        <v>211.9102661</v>
      </c>
    </row>
    <row r="4">
      <c r="A4" s="5">
        <v>0.096153846</v>
      </c>
      <c r="B4" s="6">
        <v>2.84692E-8</v>
      </c>
      <c r="C4" s="6">
        <v>1.29223E-8</v>
      </c>
      <c r="D4" s="6">
        <v>9.93517E-10</v>
      </c>
      <c r="E4" s="6">
        <v>7.91882E-9</v>
      </c>
      <c r="F4" s="6">
        <v>4.18729E-9</v>
      </c>
      <c r="G4" s="6">
        <v>1.02443E-8</v>
      </c>
      <c r="K4" s="7">
        <f t="shared" si="1"/>
        <v>537.5641603</v>
      </c>
      <c r="L4" s="7">
        <f t="shared" si="2"/>
        <v>244.0028293</v>
      </c>
      <c r="M4" s="7">
        <f t="shared" si="3"/>
        <v>18.75989251</v>
      </c>
      <c r="N4" s="7">
        <f t="shared" si="4"/>
        <v>133.9227829</v>
      </c>
      <c r="O4" s="7">
        <f t="shared" si="5"/>
        <v>70.81528933</v>
      </c>
      <c r="P4" s="7">
        <f t="shared" si="6"/>
        <v>173.2512122</v>
      </c>
    </row>
    <row r="5">
      <c r="A5" s="5">
        <v>0.128205128</v>
      </c>
      <c r="B5" s="6">
        <v>1.85747E-8</v>
      </c>
      <c r="C5" s="6">
        <v>1.39741E-8</v>
      </c>
      <c r="D5" s="6">
        <v>6.78702E-10</v>
      </c>
      <c r="E5" s="6">
        <v>7.55267E-9</v>
      </c>
      <c r="F5" s="6">
        <v>1.74473E-9</v>
      </c>
      <c r="G5" s="6">
        <v>1.00015E-8</v>
      </c>
      <c r="K5" s="7">
        <f t="shared" si="1"/>
        <v>350.7331786</v>
      </c>
      <c r="L5" s="7">
        <f t="shared" si="2"/>
        <v>263.8632393</v>
      </c>
      <c r="M5" s="7">
        <f t="shared" si="3"/>
        <v>12.81545919</v>
      </c>
      <c r="N5" s="7">
        <f t="shared" si="4"/>
        <v>127.730468</v>
      </c>
      <c r="O5" s="7">
        <f t="shared" si="5"/>
        <v>29.50680745</v>
      </c>
      <c r="P5" s="7">
        <f t="shared" si="6"/>
        <v>169.1449879</v>
      </c>
    </row>
    <row r="6">
      <c r="A6" s="5">
        <v>0.16025641</v>
      </c>
      <c r="B6" s="6">
        <v>2.84133E-9</v>
      </c>
      <c r="C6" s="6">
        <v>1.05404E-8</v>
      </c>
      <c r="D6" s="5">
        <v>0.0</v>
      </c>
      <c r="E6" s="6">
        <v>4.23125E-9</v>
      </c>
      <c r="F6" s="6">
        <v>2.27824E-9</v>
      </c>
      <c r="G6" s="6">
        <v>7.35947E-9</v>
      </c>
      <c r="K6" s="7">
        <f t="shared" si="1"/>
        <v>53.65086394</v>
      </c>
      <c r="L6" s="7">
        <f t="shared" si="2"/>
        <v>199.0270635</v>
      </c>
      <c r="M6" s="8">
        <f t="shared" si="3"/>
        <v>0</v>
      </c>
      <c r="N6" s="7">
        <f t="shared" si="4"/>
        <v>71.55873918</v>
      </c>
      <c r="O6" s="7">
        <f t="shared" si="5"/>
        <v>38.52950829</v>
      </c>
      <c r="P6" s="7">
        <f t="shared" si="6"/>
        <v>124.4630769</v>
      </c>
    </row>
    <row r="7">
      <c r="A7" s="5">
        <v>0.192307692</v>
      </c>
      <c r="B7" s="6">
        <v>6.5818E-9</v>
      </c>
      <c r="C7" s="6">
        <v>1.15784E-8</v>
      </c>
      <c r="D7" s="6">
        <v>2.71731E-10</v>
      </c>
      <c r="E7" s="6">
        <v>9.26072E-9</v>
      </c>
      <c r="F7" s="6">
        <v>1.81644E-9</v>
      </c>
      <c r="G7" s="6">
        <v>8.64453E-9</v>
      </c>
      <c r="K7" s="7">
        <f t="shared" si="1"/>
        <v>124.2795649</v>
      </c>
      <c r="L7" s="7">
        <f t="shared" si="2"/>
        <v>218.6268976</v>
      </c>
      <c r="M7" s="7">
        <f t="shared" si="3"/>
        <v>5.130908029</v>
      </c>
      <c r="N7" s="7">
        <f t="shared" si="4"/>
        <v>156.6169447</v>
      </c>
      <c r="O7" s="7">
        <f t="shared" si="5"/>
        <v>30.71956424</v>
      </c>
      <c r="P7" s="7">
        <f t="shared" si="6"/>
        <v>146.1959628</v>
      </c>
    </row>
    <row r="8">
      <c r="A8" s="5">
        <v>0.224358974</v>
      </c>
      <c r="B8" s="6">
        <v>2.49521E-8</v>
      </c>
      <c r="C8" s="6">
        <v>1.30477E-8</v>
      </c>
      <c r="D8" s="6">
        <v>8.75544E-10</v>
      </c>
      <c r="E8" s="6">
        <v>8.16551E-9</v>
      </c>
      <c r="F8" s="6">
        <v>4.08949E-10</v>
      </c>
      <c r="G8" s="6">
        <v>1.1892E-8</v>
      </c>
      <c r="K8" s="7">
        <f t="shared" si="1"/>
        <v>471.1532001</v>
      </c>
      <c r="L8" s="7">
        <f t="shared" si="2"/>
        <v>246.3706706</v>
      </c>
      <c r="M8" s="7">
        <f t="shared" si="3"/>
        <v>16.53229017</v>
      </c>
      <c r="N8" s="7">
        <f t="shared" si="4"/>
        <v>138.0947948</v>
      </c>
      <c r="O8" s="7">
        <f t="shared" si="5"/>
        <v>6.916129944</v>
      </c>
      <c r="P8" s="7">
        <f t="shared" si="6"/>
        <v>201.117052</v>
      </c>
    </row>
    <row r="9">
      <c r="A9" s="5">
        <v>0.256410256</v>
      </c>
      <c r="B9" s="6">
        <v>3.12175E-8</v>
      </c>
      <c r="C9" s="6">
        <v>6.20421E-9</v>
      </c>
      <c r="D9" s="6">
        <v>6.43985E-10</v>
      </c>
      <c r="E9" s="5">
        <v>0.0</v>
      </c>
      <c r="F9" s="6">
        <v>8.96949E-10</v>
      </c>
      <c r="G9" s="6">
        <v>1.35638E-8</v>
      </c>
      <c r="K9" s="7">
        <f t="shared" si="1"/>
        <v>589.4584033</v>
      </c>
      <c r="L9" s="7">
        <f t="shared" si="2"/>
        <v>117.1497948</v>
      </c>
      <c r="M9" s="7">
        <f t="shared" si="3"/>
        <v>12.15992215</v>
      </c>
      <c r="N9" s="8">
        <f t="shared" si="4"/>
        <v>0</v>
      </c>
      <c r="O9" s="7">
        <f t="shared" si="5"/>
        <v>15.1691674</v>
      </c>
      <c r="P9" s="7">
        <f t="shared" si="6"/>
        <v>229.3904701</v>
      </c>
    </row>
    <row r="10">
      <c r="A10" s="5">
        <v>0.288461538</v>
      </c>
      <c r="B10" s="6">
        <v>2.75623E-8</v>
      </c>
      <c r="C10" s="5">
        <v>0.0</v>
      </c>
      <c r="D10" s="6">
        <v>4.44114E-9</v>
      </c>
      <c r="E10" s="6">
        <v>7.77751E-10</v>
      </c>
      <c r="F10" s="6">
        <v>6.76021E-9</v>
      </c>
      <c r="G10" s="6">
        <v>2.12483E-8</v>
      </c>
      <c r="K10" s="7">
        <f t="shared" si="1"/>
        <v>520.4397966</v>
      </c>
      <c r="L10" s="8">
        <f t="shared" si="2"/>
        <v>0</v>
      </c>
      <c r="M10" s="7">
        <f t="shared" si="3"/>
        <v>83.85896671</v>
      </c>
      <c r="N10" s="7">
        <f t="shared" si="4"/>
        <v>13.15329535</v>
      </c>
      <c r="O10" s="7">
        <f t="shared" si="5"/>
        <v>114.3284146</v>
      </c>
      <c r="P10" s="7">
        <f t="shared" si="6"/>
        <v>359.350442</v>
      </c>
    </row>
    <row r="11">
      <c r="A11" s="5">
        <v>0.320512821</v>
      </c>
      <c r="B11" s="6">
        <v>2.59211E-8</v>
      </c>
      <c r="C11" s="6">
        <v>9.34435E-9</v>
      </c>
      <c r="D11" s="6">
        <v>1.87816E-8</v>
      </c>
      <c r="E11" s="6">
        <v>6.89166E-9</v>
      </c>
      <c r="F11" s="6">
        <v>2.24009E-8</v>
      </c>
      <c r="G11" s="6">
        <v>3.80734E-8</v>
      </c>
      <c r="K11" s="7">
        <f t="shared" si="1"/>
        <v>489.4501551</v>
      </c>
      <c r="L11" s="7">
        <f t="shared" si="2"/>
        <v>176.4428808</v>
      </c>
      <c r="M11" s="7">
        <f t="shared" si="3"/>
        <v>354.6399278</v>
      </c>
      <c r="N11" s="7">
        <f t="shared" si="4"/>
        <v>116.551492</v>
      </c>
      <c r="O11" s="7">
        <f t="shared" si="5"/>
        <v>378.8431694</v>
      </c>
      <c r="P11" s="7">
        <f t="shared" si="6"/>
        <v>643.8958937</v>
      </c>
    </row>
    <row r="12">
      <c r="A12" s="5">
        <v>0.352564103</v>
      </c>
      <c r="B12" s="6">
        <v>2.68104E-8</v>
      </c>
      <c r="C12" s="6">
        <v>2.79059E-8</v>
      </c>
      <c r="D12" s="6">
        <v>4.24409E-8</v>
      </c>
      <c r="E12" s="6">
        <v>1.28395E-8</v>
      </c>
      <c r="F12" s="6">
        <v>4.60906E-8</v>
      </c>
      <c r="G12" s="6">
        <v>6.03203E-8</v>
      </c>
      <c r="K12" s="7">
        <f t="shared" si="1"/>
        <v>506.2421903</v>
      </c>
      <c r="L12" s="7">
        <f t="shared" si="2"/>
        <v>526.9277571</v>
      </c>
      <c r="M12" s="7">
        <f t="shared" si="3"/>
        <v>801.3820821</v>
      </c>
      <c r="N12" s="7">
        <f t="shared" si="4"/>
        <v>217.141136</v>
      </c>
      <c r="O12" s="7">
        <f t="shared" si="5"/>
        <v>779.4824754</v>
      </c>
      <c r="P12" s="7">
        <f t="shared" si="6"/>
        <v>1020.134621</v>
      </c>
    </row>
    <row r="13">
      <c r="A13" s="5">
        <v>0.384615385</v>
      </c>
      <c r="B13" s="6">
        <v>3.76185E-8</v>
      </c>
      <c r="C13" s="6">
        <v>4.02512E-8</v>
      </c>
      <c r="D13" s="6">
        <v>6.71117E-8</v>
      </c>
      <c r="E13" s="6">
        <v>3.30682E-8</v>
      </c>
      <c r="F13" s="6">
        <v>7.16539E-8</v>
      </c>
      <c r="G13" s="6">
        <v>8.93123E-8</v>
      </c>
      <c r="K13" s="7">
        <f t="shared" si="1"/>
        <v>710.3240472</v>
      </c>
      <c r="L13" s="7">
        <f t="shared" si="2"/>
        <v>760.0354956</v>
      </c>
      <c r="M13" s="7">
        <f t="shared" si="3"/>
        <v>1267.223689</v>
      </c>
      <c r="N13" s="7">
        <f t="shared" si="4"/>
        <v>559.2481415</v>
      </c>
      <c r="O13" s="7">
        <f t="shared" si="5"/>
        <v>1211.808033</v>
      </c>
      <c r="P13" s="7">
        <f t="shared" si="6"/>
        <v>1510.446223</v>
      </c>
    </row>
    <row r="14">
      <c r="A14" s="5">
        <v>0.416666667</v>
      </c>
      <c r="B14" s="6">
        <v>6.15129E-8</v>
      </c>
      <c r="C14" s="6">
        <v>4.54731E-8</v>
      </c>
      <c r="D14" s="6">
        <v>8.6544E-8</v>
      </c>
      <c r="E14" s="6">
        <v>8.11516E-8</v>
      </c>
      <c r="F14" s="6">
        <v>9.53091E-8</v>
      </c>
      <c r="G14" s="6">
        <v>1.23046E-7</v>
      </c>
      <c r="K14" s="7">
        <f t="shared" si="1"/>
        <v>1161.505432</v>
      </c>
      <c r="L14" s="7">
        <f t="shared" si="2"/>
        <v>858.6370119</v>
      </c>
      <c r="M14" s="7">
        <f t="shared" si="3"/>
        <v>1634.150334</v>
      </c>
      <c r="N14" s="7">
        <f t="shared" si="4"/>
        <v>1372.432775</v>
      </c>
      <c r="O14" s="7">
        <f t="shared" si="5"/>
        <v>1611.863877</v>
      </c>
      <c r="P14" s="7">
        <f t="shared" si="6"/>
        <v>2080.949275</v>
      </c>
    </row>
    <row r="15">
      <c r="A15" s="5">
        <v>0.448717949</v>
      </c>
      <c r="B15" s="6">
        <v>9.44728E-8</v>
      </c>
      <c r="C15" s="6">
        <v>4.96196E-8</v>
      </c>
      <c r="D15" s="6">
        <v>1.00952E-7</v>
      </c>
      <c r="E15" s="6">
        <v>1.60178E-7</v>
      </c>
      <c r="F15" s="6">
        <v>1.13815E-7</v>
      </c>
      <c r="G15" s="6">
        <v>1.53598E-7</v>
      </c>
      <c r="K15" s="7">
        <f t="shared" si="1"/>
        <v>1783.864366</v>
      </c>
      <c r="L15" s="7">
        <f t="shared" si="2"/>
        <v>936.9324958</v>
      </c>
      <c r="M15" s="7">
        <f t="shared" si="3"/>
        <v>1906.206606</v>
      </c>
      <c r="N15" s="7">
        <f t="shared" si="4"/>
        <v>2708.924248</v>
      </c>
      <c r="O15" s="7">
        <f t="shared" si="5"/>
        <v>1924.834954</v>
      </c>
      <c r="P15" s="7">
        <f t="shared" si="6"/>
        <v>2597.643538</v>
      </c>
    </row>
    <row r="16">
      <c r="A16" s="5">
        <v>0.480769231</v>
      </c>
      <c r="B16" s="6">
        <v>1.47487E-7</v>
      </c>
      <c r="C16" s="6">
        <v>5.60658E-8</v>
      </c>
      <c r="D16" s="6">
        <v>1.11396E-7</v>
      </c>
      <c r="E16" s="6">
        <v>2.58623E-7</v>
      </c>
      <c r="F16" s="6">
        <v>1.25608E-7</v>
      </c>
      <c r="G16" s="6">
        <v>1.79818E-7</v>
      </c>
      <c r="K16" s="7">
        <f t="shared" si="1"/>
        <v>2784.894739</v>
      </c>
      <c r="L16" s="7">
        <f t="shared" si="2"/>
        <v>1058.65162</v>
      </c>
      <c r="M16" s="7">
        <f t="shared" si="3"/>
        <v>2103.413415</v>
      </c>
      <c r="N16" s="7">
        <f t="shared" si="4"/>
        <v>4373.822346</v>
      </c>
      <c r="O16" s="7">
        <f t="shared" si="5"/>
        <v>2124.277722</v>
      </c>
      <c r="P16" s="7">
        <f t="shared" si="6"/>
        <v>3041.075181</v>
      </c>
    </row>
    <row r="17">
      <c r="A17" s="5">
        <v>0.512820513</v>
      </c>
      <c r="B17" s="6">
        <v>2.15944E-7</v>
      </c>
      <c r="C17" s="6">
        <v>6.29525E-8</v>
      </c>
      <c r="D17" s="6">
        <v>1.16108E-7</v>
      </c>
      <c r="E17" s="6">
        <v>3.43248E-7</v>
      </c>
      <c r="F17" s="6">
        <v>1.33941E-7</v>
      </c>
      <c r="G17" s="6">
        <v>2.02781E-7</v>
      </c>
      <c r="K17" s="7">
        <f t="shared" si="1"/>
        <v>4077.520796</v>
      </c>
      <c r="L17" s="7">
        <f t="shared" si="2"/>
        <v>1188.6884</v>
      </c>
      <c r="M17" s="7">
        <f t="shared" si="3"/>
        <v>2192.386844</v>
      </c>
      <c r="N17" s="7">
        <f t="shared" si="4"/>
        <v>5804.99713</v>
      </c>
      <c r="O17" s="7">
        <f t="shared" si="5"/>
        <v>2265.205101</v>
      </c>
      <c r="P17" s="7">
        <f t="shared" si="6"/>
        <v>3429.424565</v>
      </c>
    </row>
    <row r="18">
      <c r="A18" s="5">
        <v>0.544871795</v>
      </c>
      <c r="B18" s="6">
        <v>2.6353E-7</v>
      </c>
      <c r="C18" s="6">
        <v>6.27721E-8</v>
      </c>
      <c r="D18" s="6">
        <v>1.15058E-7</v>
      </c>
      <c r="E18" s="6">
        <v>3.92601E-7</v>
      </c>
      <c r="F18" s="6">
        <v>1.41575E-7</v>
      </c>
      <c r="G18" s="6">
        <v>2.19293E-7</v>
      </c>
      <c r="K18" s="7">
        <f t="shared" si="1"/>
        <v>4976.054233</v>
      </c>
      <c r="L18" s="7">
        <f t="shared" si="2"/>
        <v>1185.282032</v>
      </c>
      <c r="M18" s="7">
        <f t="shared" si="3"/>
        <v>2172.560422</v>
      </c>
      <c r="N18" s="7">
        <f t="shared" si="4"/>
        <v>6639.65319</v>
      </c>
      <c r="O18" s="7">
        <f t="shared" si="5"/>
        <v>2394.311019</v>
      </c>
      <c r="P18" s="7">
        <f t="shared" si="6"/>
        <v>3708.674881</v>
      </c>
    </row>
    <row r="19">
      <c r="A19" s="5">
        <v>0.576923077</v>
      </c>
      <c r="B19" s="6">
        <v>2.54977E-7</v>
      </c>
      <c r="C19" s="6">
        <v>6.25334E-8</v>
      </c>
      <c r="D19" s="6">
        <v>1.10454E-7</v>
      </c>
      <c r="E19" s="6">
        <v>4.20538E-7</v>
      </c>
      <c r="F19" s="6">
        <v>1.47906E-7</v>
      </c>
      <c r="G19" s="6">
        <v>2.30665E-7</v>
      </c>
      <c r="K19" s="7">
        <f t="shared" si="1"/>
        <v>4814.553866</v>
      </c>
      <c r="L19" s="7">
        <f t="shared" si="2"/>
        <v>1180.774826</v>
      </c>
      <c r="M19" s="7">
        <f t="shared" si="3"/>
        <v>2085.626283</v>
      </c>
      <c r="N19" s="7">
        <f t="shared" si="4"/>
        <v>7112.122672</v>
      </c>
      <c r="O19" s="7">
        <f t="shared" si="5"/>
        <v>2501.38065</v>
      </c>
      <c r="P19" s="7">
        <f t="shared" si="6"/>
        <v>3900.997713</v>
      </c>
    </row>
    <row r="20">
      <c r="A20" s="5">
        <v>0.608974359</v>
      </c>
      <c r="B20" s="6">
        <v>2.49236E-7</v>
      </c>
      <c r="C20" s="6">
        <v>7.70559E-8</v>
      </c>
      <c r="D20" s="6">
        <v>1.0276E-7</v>
      </c>
      <c r="E20" s="6">
        <v>4.40777E-7</v>
      </c>
      <c r="F20" s="6">
        <v>1.52172E-7</v>
      </c>
      <c r="G20" s="6">
        <v>2.40545E-7</v>
      </c>
      <c r="K20" s="7">
        <f t="shared" si="1"/>
        <v>4706.150544</v>
      </c>
      <c r="L20" s="7">
        <f t="shared" si="2"/>
        <v>1454.993122</v>
      </c>
      <c r="M20" s="7">
        <f t="shared" si="3"/>
        <v>1940.345816</v>
      </c>
      <c r="N20" s="7">
        <f t="shared" si="4"/>
        <v>7454.403871</v>
      </c>
      <c r="O20" s="7">
        <f t="shared" si="5"/>
        <v>2573.52708</v>
      </c>
      <c r="P20" s="7">
        <f t="shared" si="6"/>
        <v>4068.087897</v>
      </c>
    </row>
    <row r="21">
      <c r="A21" s="5">
        <v>0.641025641</v>
      </c>
      <c r="B21" s="6">
        <v>2.52726E-7</v>
      </c>
      <c r="C21" s="6">
        <v>8.75498E-8</v>
      </c>
      <c r="D21" s="6">
        <v>9.31358E-8</v>
      </c>
      <c r="E21" s="6">
        <v>4.52705E-7</v>
      </c>
      <c r="F21" s="6">
        <v>1.53332E-7</v>
      </c>
      <c r="G21" s="6">
        <v>2.47725E-7</v>
      </c>
      <c r="K21" s="7">
        <f t="shared" si="1"/>
        <v>4772.049794</v>
      </c>
      <c r="L21" s="7">
        <f t="shared" si="2"/>
        <v>1653.142158</v>
      </c>
      <c r="M21" s="7">
        <f t="shared" si="3"/>
        <v>1758.618722</v>
      </c>
      <c r="N21" s="7">
        <f t="shared" si="4"/>
        <v>7656.129753</v>
      </c>
      <c r="O21" s="7">
        <f t="shared" si="5"/>
        <v>2593.144956</v>
      </c>
      <c r="P21" s="7">
        <f t="shared" si="6"/>
        <v>4189.515784</v>
      </c>
    </row>
    <row r="22">
      <c r="A22" s="5">
        <v>0.673076923</v>
      </c>
      <c r="B22" s="6">
        <v>2.40614E-7</v>
      </c>
      <c r="C22" s="6">
        <v>7.04313E-8</v>
      </c>
      <c r="D22" s="6">
        <v>8.43997E-8</v>
      </c>
      <c r="E22" s="6">
        <v>4.62249E-7</v>
      </c>
      <c r="F22" s="6">
        <v>1.47769E-7</v>
      </c>
      <c r="G22" s="6">
        <v>2.52734E-7</v>
      </c>
      <c r="K22" s="7">
        <f t="shared" si="1"/>
        <v>4543.347297</v>
      </c>
      <c r="L22" s="7">
        <f t="shared" si="2"/>
        <v>1329.905394</v>
      </c>
      <c r="M22" s="7">
        <f t="shared" si="3"/>
        <v>1593.661004</v>
      </c>
      <c r="N22" s="7">
        <f t="shared" si="4"/>
        <v>7817.537519</v>
      </c>
      <c r="O22" s="7">
        <f t="shared" si="5"/>
        <v>2499.063712</v>
      </c>
      <c r="P22" s="7">
        <f t="shared" si="6"/>
        <v>4274.227802</v>
      </c>
    </row>
    <row r="23">
      <c r="A23" s="5">
        <v>0.705128205</v>
      </c>
      <c r="B23" s="6">
        <v>2.27033E-7</v>
      </c>
      <c r="C23" s="6">
        <v>5.05733E-8</v>
      </c>
      <c r="D23" s="6">
        <v>7.60831E-8</v>
      </c>
      <c r="E23" s="6">
        <v>4.68591E-7</v>
      </c>
      <c r="F23" s="6">
        <v>1.308E-7</v>
      </c>
      <c r="G23" s="6">
        <v>2.57397E-7</v>
      </c>
      <c r="K23" s="7">
        <f t="shared" si="1"/>
        <v>4286.906693</v>
      </c>
      <c r="L23" s="7">
        <f t="shared" si="2"/>
        <v>954.9405515</v>
      </c>
      <c r="M23" s="7">
        <f t="shared" si="3"/>
        <v>1436.624414</v>
      </c>
      <c r="N23" s="7">
        <f t="shared" si="4"/>
        <v>7924.793182</v>
      </c>
      <c r="O23" s="7">
        <f t="shared" si="5"/>
        <v>2212.084628</v>
      </c>
      <c r="P23" s="7">
        <f t="shared" si="6"/>
        <v>4353.088281</v>
      </c>
    </row>
    <row r="24">
      <c r="A24" s="5">
        <v>0.737179487</v>
      </c>
      <c r="B24" s="6">
        <v>2.18583E-7</v>
      </c>
      <c r="C24" s="6">
        <v>5.11258E-8</v>
      </c>
      <c r="D24" s="6">
        <v>6.64141E-8</v>
      </c>
      <c r="E24" s="6">
        <v>4.55926E-7</v>
      </c>
      <c r="F24" s="6">
        <v>1.04439E-7</v>
      </c>
      <c r="G24" s="6">
        <v>2.57503E-7</v>
      </c>
      <c r="K24" s="7">
        <f t="shared" si="1"/>
        <v>4127.351203</v>
      </c>
      <c r="L24" s="7">
        <f t="shared" si="2"/>
        <v>965.3730259</v>
      </c>
      <c r="M24" s="7">
        <f t="shared" si="3"/>
        <v>1254.051392</v>
      </c>
      <c r="N24" s="7">
        <f t="shared" si="4"/>
        <v>7710.603183</v>
      </c>
      <c r="O24" s="7">
        <f t="shared" si="5"/>
        <v>1766.268398</v>
      </c>
      <c r="P24" s="7">
        <f t="shared" si="6"/>
        <v>4354.880949</v>
      </c>
    </row>
    <row r="25">
      <c r="A25" s="5">
        <v>0.769230769</v>
      </c>
      <c r="B25" s="6">
        <v>2.01129E-7</v>
      </c>
      <c r="C25" s="6">
        <v>5.26315E-8</v>
      </c>
      <c r="D25" s="6">
        <v>5.66833E-8</v>
      </c>
      <c r="E25" s="6">
        <v>4.23422E-7</v>
      </c>
      <c r="F25" s="6">
        <v>8.02178E-8</v>
      </c>
      <c r="G25" s="6">
        <v>2.48742E-7</v>
      </c>
      <c r="K25" s="7">
        <f t="shared" si="1"/>
        <v>3797.779425</v>
      </c>
      <c r="L25" s="7">
        <f t="shared" si="2"/>
        <v>993.8041148</v>
      </c>
      <c r="M25" s="7">
        <f t="shared" si="3"/>
        <v>1070.311444</v>
      </c>
      <c r="N25" s="7">
        <f t="shared" si="4"/>
        <v>7160.89677</v>
      </c>
      <c r="O25" s="7">
        <f t="shared" si="5"/>
        <v>1356.640385</v>
      </c>
      <c r="P25" s="7">
        <f t="shared" si="6"/>
        <v>4206.71525</v>
      </c>
    </row>
    <row r="26">
      <c r="A26" s="5">
        <v>0.801282051</v>
      </c>
      <c r="B26" s="6">
        <v>1.83916E-7</v>
      </c>
      <c r="C26" s="6">
        <v>5.01674E-8</v>
      </c>
      <c r="D26" s="6">
        <v>4.78793E-8</v>
      </c>
      <c r="E26" s="6">
        <v>3.82561E-7</v>
      </c>
      <c r="F26" s="6">
        <v>6.52265E-8</v>
      </c>
      <c r="G26" s="6">
        <v>2.30797E-7</v>
      </c>
      <c r="K26" s="7">
        <f t="shared" si="1"/>
        <v>3472.758283</v>
      </c>
      <c r="L26" s="7">
        <f t="shared" si="2"/>
        <v>947.2762233</v>
      </c>
      <c r="M26" s="7">
        <f t="shared" si="3"/>
        <v>904.0716178</v>
      </c>
      <c r="N26" s="7">
        <f t="shared" si="4"/>
        <v>6469.857091</v>
      </c>
      <c r="O26" s="7">
        <f t="shared" si="5"/>
        <v>1103.108089</v>
      </c>
      <c r="P26" s="7">
        <f t="shared" si="6"/>
        <v>3903.230092</v>
      </c>
    </row>
    <row r="27">
      <c r="A27" s="5">
        <v>0.833333333</v>
      </c>
      <c r="B27" s="6">
        <v>1.70172E-7</v>
      </c>
      <c r="C27" s="6">
        <v>5.84814E-8</v>
      </c>
      <c r="D27" s="6">
        <v>3.98101E-8</v>
      </c>
      <c r="E27" s="6">
        <v>3.3069E-7</v>
      </c>
      <c r="F27" s="6">
        <v>5.48705E-8</v>
      </c>
      <c r="G27" s="6">
        <v>2.03219E-7</v>
      </c>
      <c r="K27" s="7">
        <f t="shared" si="1"/>
        <v>3213.239862</v>
      </c>
      <c r="L27" s="7">
        <f t="shared" si="2"/>
        <v>1104.26372</v>
      </c>
      <c r="M27" s="7">
        <f t="shared" si="3"/>
        <v>751.7065102</v>
      </c>
      <c r="N27" s="7">
        <f t="shared" si="4"/>
        <v>5592.616711</v>
      </c>
      <c r="O27" s="7">
        <f t="shared" si="5"/>
        <v>927.9678104</v>
      </c>
      <c r="P27" s="7">
        <f t="shared" si="6"/>
        <v>3436.832004</v>
      </c>
    </row>
    <row r="28">
      <c r="A28" s="5">
        <v>0.865384615</v>
      </c>
      <c r="B28" s="6">
        <v>1.44879E-7</v>
      </c>
      <c r="C28" s="6">
        <v>6.47162E-8</v>
      </c>
      <c r="D28" s="6">
        <v>3.31601E-8</v>
      </c>
      <c r="E28" s="6">
        <v>2.65803E-7</v>
      </c>
      <c r="F28" s="6">
        <v>4.66156E-8</v>
      </c>
      <c r="G28" s="6">
        <v>1.68844E-7</v>
      </c>
      <c r="K28" s="7">
        <f t="shared" si="1"/>
        <v>2735.649684</v>
      </c>
      <c r="L28" s="7">
        <f t="shared" si="2"/>
        <v>1221.991124</v>
      </c>
      <c r="M28" s="7">
        <f t="shared" si="3"/>
        <v>626.1391719</v>
      </c>
      <c r="N28" s="7">
        <f t="shared" si="4"/>
        <v>4495.250233</v>
      </c>
      <c r="O28" s="7">
        <f t="shared" si="5"/>
        <v>788.3612554</v>
      </c>
      <c r="P28" s="7">
        <f t="shared" si="6"/>
        <v>2855.48331</v>
      </c>
    </row>
    <row r="29">
      <c r="A29" s="5">
        <v>0.897435897</v>
      </c>
      <c r="B29" s="6">
        <v>1.20062E-7</v>
      </c>
      <c r="C29" s="6">
        <v>5.95747E-8</v>
      </c>
      <c r="D29" s="6">
        <v>2.38374E-8</v>
      </c>
      <c r="E29" s="6">
        <v>2.02844E-7</v>
      </c>
      <c r="F29" s="6">
        <v>4.21601E-8</v>
      </c>
      <c r="G29" s="6">
        <v>1.3403E-7</v>
      </c>
      <c r="K29" s="7">
        <f t="shared" si="1"/>
        <v>2267.047484</v>
      </c>
      <c r="L29" s="7">
        <f t="shared" si="2"/>
        <v>1124.907745</v>
      </c>
      <c r="M29" s="7">
        <f t="shared" si="3"/>
        <v>450.1050931</v>
      </c>
      <c r="N29" s="7">
        <f t="shared" si="4"/>
        <v>3430.490018</v>
      </c>
      <c r="O29" s="7">
        <f t="shared" si="5"/>
        <v>713.0100088</v>
      </c>
      <c r="P29" s="7">
        <f t="shared" si="6"/>
        <v>2266.710266</v>
      </c>
    </row>
    <row r="30">
      <c r="A30" s="5">
        <v>0.929487179</v>
      </c>
      <c r="B30" s="6">
        <v>1.07153E-7</v>
      </c>
      <c r="C30" s="6">
        <v>6.01195E-8</v>
      </c>
      <c r="D30" s="6">
        <v>1.3861E-8</v>
      </c>
      <c r="E30" s="6">
        <v>1.52436E-7</v>
      </c>
      <c r="F30" s="6">
        <v>3.74397E-8</v>
      </c>
      <c r="G30" s="6">
        <v>1.0093E-7</v>
      </c>
      <c r="K30" s="7">
        <f t="shared" si="1"/>
        <v>2023.295789</v>
      </c>
      <c r="L30" s="7">
        <f t="shared" si="2"/>
        <v>1135.194826</v>
      </c>
      <c r="M30" s="7">
        <f t="shared" si="3"/>
        <v>261.7276505</v>
      </c>
      <c r="N30" s="7">
        <f t="shared" si="4"/>
        <v>2577.991838</v>
      </c>
      <c r="O30" s="7">
        <f t="shared" si="5"/>
        <v>633.1787834</v>
      </c>
      <c r="P30" s="7">
        <f t="shared" si="6"/>
        <v>1706.924324</v>
      </c>
    </row>
    <row r="31">
      <c r="A31" s="5">
        <v>0.961538462</v>
      </c>
      <c r="B31" s="6">
        <v>8.71884E-8</v>
      </c>
      <c r="C31" s="6">
        <v>6.36511E-8</v>
      </c>
      <c r="D31" s="6">
        <v>1.07421E-8</v>
      </c>
      <c r="E31" s="6">
        <v>1.10094E-7</v>
      </c>
      <c r="F31" s="6">
        <v>1.70994E-8</v>
      </c>
      <c r="G31" s="6">
        <v>7.0213E-8</v>
      </c>
      <c r="K31" s="7">
        <f t="shared" si="1"/>
        <v>1646.318092</v>
      </c>
      <c r="L31" s="7">
        <f t="shared" si="2"/>
        <v>1201.87958</v>
      </c>
      <c r="M31" s="7">
        <f t="shared" si="3"/>
        <v>202.8356247</v>
      </c>
      <c r="N31" s="7">
        <f t="shared" si="4"/>
        <v>1861.905543</v>
      </c>
      <c r="O31" s="7">
        <f t="shared" si="5"/>
        <v>289.1844029</v>
      </c>
      <c r="P31" s="7">
        <f t="shared" si="6"/>
        <v>1187.439587</v>
      </c>
    </row>
    <row r="32">
      <c r="A32" s="5">
        <v>0.993589744</v>
      </c>
      <c r="B32" s="6">
        <v>6.20317E-8</v>
      </c>
      <c r="C32" s="6">
        <v>4.92816E-8</v>
      </c>
      <c r="D32" s="6">
        <v>8.71666E-9</v>
      </c>
      <c r="E32" s="6">
        <v>7.33536E-8</v>
      </c>
      <c r="F32" s="6">
        <v>9.17731E-9</v>
      </c>
      <c r="G32" s="6">
        <v>4.54E-8</v>
      </c>
      <c r="K32" s="7">
        <f t="shared" si="1"/>
        <v>1171.301572</v>
      </c>
      <c r="L32" s="7">
        <f t="shared" si="2"/>
        <v>930.5502762</v>
      </c>
      <c r="M32" s="7">
        <f t="shared" si="3"/>
        <v>164.5906458</v>
      </c>
      <c r="N32" s="7">
        <f t="shared" si="4"/>
        <v>1240.553295</v>
      </c>
      <c r="O32" s="7">
        <f t="shared" si="5"/>
        <v>155.2063179</v>
      </c>
      <c r="P32" s="7">
        <f t="shared" si="6"/>
        <v>767.8030744</v>
      </c>
    </row>
    <row r="33">
      <c r="A33" s="5">
        <v>1.025641026</v>
      </c>
      <c r="B33" s="6">
        <v>5.00732E-8</v>
      </c>
      <c r="C33" s="6">
        <v>3.99618E-8</v>
      </c>
      <c r="D33" s="6">
        <v>4.81605E-9</v>
      </c>
      <c r="E33" s="6">
        <v>4.76913E-8</v>
      </c>
      <c r="F33" s="6">
        <v>1.26896E-8</v>
      </c>
      <c r="G33" s="6">
        <v>2.70461E-8</v>
      </c>
      <c r="K33" s="7">
        <f t="shared" si="1"/>
        <v>945.49751</v>
      </c>
      <c r="L33" s="7">
        <f t="shared" si="2"/>
        <v>754.5709561</v>
      </c>
      <c r="M33" s="7">
        <f t="shared" si="3"/>
        <v>90.93813224</v>
      </c>
      <c r="N33" s="7">
        <f t="shared" si="4"/>
        <v>806.5534529</v>
      </c>
      <c r="O33" s="7">
        <f t="shared" si="5"/>
        <v>214.6060329</v>
      </c>
      <c r="P33" s="7">
        <f t="shared" si="6"/>
        <v>457.4026152</v>
      </c>
    </row>
    <row r="34">
      <c r="A34" s="5">
        <v>1.057692308</v>
      </c>
      <c r="B34" s="6">
        <v>4.20509E-8</v>
      </c>
      <c r="C34" s="6">
        <v>3.83034E-8</v>
      </c>
      <c r="D34" s="6">
        <v>2.05785E-9</v>
      </c>
      <c r="E34" s="6">
        <v>3.22967E-8</v>
      </c>
      <c r="F34" s="6">
        <v>9.22366E-9</v>
      </c>
      <c r="G34" s="6">
        <v>1.32989E-8</v>
      </c>
      <c r="K34" s="7">
        <f t="shared" si="1"/>
        <v>794.0179826</v>
      </c>
      <c r="L34" s="7">
        <f t="shared" si="2"/>
        <v>723.256539</v>
      </c>
      <c r="M34" s="7">
        <f t="shared" si="3"/>
        <v>38.85695444</v>
      </c>
      <c r="N34" s="7">
        <f t="shared" si="4"/>
        <v>546.2005628</v>
      </c>
      <c r="O34" s="7">
        <f t="shared" si="5"/>
        <v>155.9901873</v>
      </c>
      <c r="P34" s="7">
        <f t="shared" si="6"/>
        <v>224.9104913</v>
      </c>
    </row>
    <row r="35">
      <c r="A35" s="5">
        <v>1.08974359</v>
      </c>
      <c r="B35" s="6">
        <v>3.25699E-8</v>
      </c>
      <c r="C35" s="6">
        <v>3.2075E-8</v>
      </c>
      <c r="D35" s="6">
        <v>1.7275E-9</v>
      </c>
      <c r="E35" s="6">
        <v>1.8097E-8</v>
      </c>
      <c r="F35" s="6">
        <v>5.46009E-9</v>
      </c>
      <c r="G35" s="6">
        <v>4.93227E-9</v>
      </c>
      <c r="K35" s="7">
        <f t="shared" si="1"/>
        <v>614.9948346</v>
      </c>
      <c r="L35" s="7">
        <f t="shared" si="2"/>
        <v>605.6499811</v>
      </c>
      <c r="M35" s="7">
        <f t="shared" si="3"/>
        <v>32.61918449</v>
      </c>
      <c r="N35" s="7">
        <f t="shared" si="4"/>
        <v>306.0557762</v>
      </c>
      <c r="O35" s="7">
        <f t="shared" si="5"/>
        <v>92.34083455</v>
      </c>
      <c r="P35" s="7">
        <f t="shared" si="6"/>
        <v>83.41436277</v>
      </c>
    </row>
    <row r="36">
      <c r="A36" s="5">
        <v>1.121794872</v>
      </c>
      <c r="B36" s="6">
        <v>2.81431E-8</v>
      </c>
      <c r="C36" s="6">
        <v>2.37658E-8</v>
      </c>
      <c r="D36" s="6">
        <v>2.43546E-9</v>
      </c>
      <c r="E36" s="6">
        <v>5.76449E-9</v>
      </c>
      <c r="F36" s="6">
        <v>7.1731E-9</v>
      </c>
      <c r="G36" s="6">
        <v>1.41933E-9</v>
      </c>
      <c r="K36" s="7">
        <f t="shared" si="1"/>
        <v>531.4066402</v>
      </c>
      <c r="L36" s="7">
        <f t="shared" si="2"/>
        <v>448.7531199</v>
      </c>
      <c r="M36" s="7">
        <f t="shared" si="3"/>
        <v>45.9871022</v>
      </c>
      <c r="N36" s="7">
        <f t="shared" si="4"/>
        <v>97.48883578</v>
      </c>
      <c r="O36" s="7">
        <f t="shared" si="5"/>
        <v>121.3111946</v>
      </c>
      <c r="P36" s="7">
        <f t="shared" si="6"/>
        <v>24.00365501</v>
      </c>
    </row>
    <row r="37">
      <c r="A37" s="5">
        <v>1.153846154</v>
      </c>
      <c r="B37" s="6">
        <v>1.55288E-8</v>
      </c>
      <c r="C37" s="6">
        <v>1.98793E-8</v>
      </c>
      <c r="D37" s="6">
        <v>4.01856E-9</v>
      </c>
      <c r="E37" s="6">
        <v>4.21778E-9</v>
      </c>
      <c r="F37" s="6">
        <v>6.4983E-9</v>
      </c>
      <c r="G37" s="5">
        <v>0.0</v>
      </c>
      <c r="K37" s="7">
        <f t="shared" si="1"/>
        <v>293.2195612</v>
      </c>
      <c r="L37" s="7">
        <f t="shared" si="2"/>
        <v>375.3670357</v>
      </c>
      <c r="M37" s="7">
        <f t="shared" si="3"/>
        <v>75.87968163</v>
      </c>
      <c r="N37" s="7">
        <f t="shared" si="4"/>
        <v>71.33093505</v>
      </c>
      <c r="O37" s="7">
        <f t="shared" si="5"/>
        <v>109.8990026</v>
      </c>
      <c r="P37" s="8">
        <f t="shared" si="6"/>
        <v>0</v>
      </c>
    </row>
    <row r="38">
      <c r="A38" s="5">
        <v>1.185897436</v>
      </c>
      <c r="B38" s="5">
        <v>0.0</v>
      </c>
      <c r="C38" s="6">
        <v>1.49729E-8</v>
      </c>
      <c r="D38" s="6">
        <v>5.27515E-9</v>
      </c>
      <c r="E38" s="6">
        <v>8.61921E-9</v>
      </c>
      <c r="F38" s="6">
        <v>4.79467E-9</v>
      </c>
      <c r="G38" s="6">
        <v>3.24622E-10</v>
      </c>
      <c r="K38" s="8">
        <f t="shared" si="1"/>
        <v>0</v>
      </c>
      <c r="L38" s="7">
        <f t="shared" si="2"/>
        <v>282.7228871</v>
      </c>
      <c r="M38" s="7">
        <f t="shared" si="3"/>
        <v>99.60699916</v>
      </c>
      <c r="N38" s="7">
        <f t="shared" si="4"/>
        <v>145.7677519</v>
      </c>
      <c r="O38" s="7">
        <f t="shared" si="5"/>
        <v>81.0872768</v>
      </c>
      <c r="P38" s="7">
        <f t="shared" si="6"/>
        <v>5.489994926</v>
      </c>
    </row>
    <row r="39">
      <c r="A39" s="5">
        <v>1.217948718</v>
      </c>
      <c r="B39" s="6">
        <v>8.9645E-9</v>
      </c>
      <c r="C39" s="6">
        <v>9.28238E-9</v>
      </c>
      <c r="D39" s="6">
        <v>4.39586E-9</v>
      </c>
      <c r="E39" s="6">
        <v>8.23747E-9</v>
      </c>
      <c r="F39" s="6">
        <v>5.78744E-9</v>
      </c>
      <c r="G39" s="6">
        <v>2.32441E-9</v>
      </c>
      <c r="K39" s="7">
        <f t="shared" si="1"/>
        <v>169.2704367</v>
      </c>
      <c r="L39" s="7">
        <f t="shared" si="2"/>
        <v>175.2727442</v>
      </c>
      <c r="M39" s="7">
        <f t="shared" si="3"/>
        <v>83.00397587</v>
      </c>
      <c r="N39" s="7">
        <f t="shared" si="4"/>
        <v>139.3117795</v>
      </c>
      <c r="O39" s="7">
        <f t="shared" si="5"/>
        <v>97.87696531</v>
      </c>
      <c r="P39" s="7">
        <f t="shared" si="6"/>
        <v>39.31033357</v>
      </c>
    </row>
    <row r="40">
      <c r="A40" s="5">
        <v>1.25</v>
      </c>
      <c r="B40" s="6">
        <v>2.52208E-8</v>
      </c>
      <c r="C40" s="6">
        <v>1.08751E-8</v>
      </c>
      <c r="D40" s="6">
        <v>4.11808E-9</v>
      </c>
      <c r="E40" s="6">
        <v>6.28616E-9</v>
      </c>
      <c r="F40" s="6">
        <v>6.74469E-9</v>
      </c>
      <c r="G40" s="6">
        <v>5.18963E-9</v>
      </c>
      <c r="K40" s="7">
        <f t="shared" si="1"/>
        <v>476.2268759</v>
      </c>
      <c r="L40" s="7">
        <f t="shared" si="2"/>
        <v>205.3469715</v>
      </c>
      <c r="M40" s="7">
        <f t="shared" si="3"/>
        <v>77.75884877</v>
      </c>
      <c r="N40" s="7">
        <f t="shared" si="4"/>
        <v>106.311299</v>
      </c>
      <c r="O40" s="7">
        <f t="shared" si="5"/>
        <v>114.0659409</v>
      </c>
      <c r="P40" s="7">
        <f t="shared" si="6"/>
        <v>87.76682531</v>
      </c>
    </row>
    <row r="41">
      <c r="A41" s="5">
        <v>1.282051282</v>
      </c>
      <c r="B41" s="6">
        <v>2.20862E-8</v>
      </c>
      <c r="C41" s="6">
        <v>1.77691E-8</v>
      </c>
      <c r="D41" s="6">
        <v>9.15129E-9</v>
      </c>
      <c r="E41" s="6">
        <v>6.98469E-9</v>
      </c>
      <c r="F41" s="6">
        <v>1.30205E-8</v>
      </c>
      <c r="G41" s="6">
        <v>1.17023E-8</v>
      </c>
      <c r="K41" s="7">
        <f t="shared" si="1"/>
        <v>417.0383979</v>
      </c>
      <c r="L41" s="7">
        <f t="shared" si="2"/>
        <v>335.5215925</v>
      </c>
      <c r="M41" s="7">
        <f t="shared" si="3"/>
        <v>172.7974627</v>
      </c>
      <c r="N41" s="7">
        <f t="shared" si="4"/>
        <v>118.1248118</v>
      </c>
      <c r="O41" s="7">
        <f t="shared" si="5"/>
        <v>220.2022011</v>
      </c>
      <c r="P41" s="7">
        <f t="shared" si="6"/>
        <v>197.9088528</v>
      </c>
    </row>
    <row r="42">
      <c r="A42" s="5">
        <v>1.314102564</v>
      </c>
      <c r="B42" s="6">
        <v>2.08682E-8</v>
      </c>
      <c r="C42" s="6">
        <v>2.20905E-8</v>
      </c>
      <c r="D42" s="6">
        <v>2.06112E-8</v>
      </c>
      <c r="E42" s="6">
        <v>8.995E-9</v>
      </c>
      <c r="F42" s="6">
        <v>3.0423E-8</v>
      </c>
      <c r="G42" s="6">
        <v>2.57915E-8</v>
      </c>
      <c r="K42" s="7">
        <f t="shared" si="1"/>
        <v>394.0397486</v>
      </c>
      <c r="L42" s="7">
        <f t="shared" si="2"/>
        <v>417.1195918</v>
      </c>
      <c r="M42" s="7">
        <f t="shared" si="3"/>
        <v>389.1869958</v>
      </c>
      <c r="N42" s="7">
        <f t="shared" si="4"/>
        <v>152.1230981</v>
      </c>
      <c r="O42" s="7">
        <f t="shared" si="5"/>
        <v>514.5126197</v>
      </c>
      <c r="P42" s="7">
        <f t="shared" si="6"/>
        <v>436.1848677</v>
      </c>
    </row>
    <row r="43">
      <c r="A43" s="5">
        <v>1.346153846</v>
      </c>
      <c r="B43" s="9"/>
      <c r="D43" s="9"/>
      <c r="E43" s="6">
        <v>1.84177E-8</v>
      </c>
      <c r="F43" s="6">
        <v>5.30762E-8</v>
      </c>
      <c r="G43" s="6">
        <v>4.7916E-8</v>
      </c>
      <c r="N43" s="7">
        <f t="shared" si="4"/>
        <v>311.4794424</v>
      </c>
      <c r="O43" s="7">
        <f t="shared" si="5"/>
        <v>897.622677</v>
      </c>
      <c r="P43" s="7">
        <f t="shared" si="6"/>
        <v>810.3535708</v>
      </c>
    </row>
    <row r="44">
      <c r="A44" s="5">
        <v>1.378205128</v>
      </c>
      <c r="B44" s="9"/>
      <c r="D44" s="9"/>
      <c r="E44" s="6">
        <v>3.94495E-8</v>
      </c>
      <c r="F44" s="6">
        <v>7.62578E-8</v>
      </c>
      <c r="G44" s="6">
        <v>7.68603E-8</v>
      </c>
      <c r="N44" s="7">
        <f t="shared" si="4"/>
        <v>667.1684446</v>
      </c>
      <c r="O44" s="7">
        <f t="shared" si="5"/>
        <v>1289.669015</v>
      </c>
      <c r="P44" s="7">
        <f t="shared" si="6"/>
        <v>1299.858472</v>
      </c>
    </row>
    <row r="45">
      <c r="A45" s="5">
        <v>1.41025641</v>
      </c>
      <c r="B45" s="9"/>
      <c r="C45" s="9"/>
      <c r="D45" s="9"/>
      <c r="E45" s="6">
        <v>7.28809E-8</v>
      </c>
      <c r="F45" s="6">
        <v>9.77602E-8</v>
      </c>
      <c r="G45" s="6">
        <v>1.10071E-7</v>
      </c>
      <c r="N45" s="7">
        <f t="shared" si="4"/>
        <v>1232.559011</v>
      </c>
      <c r="O45" s="7">
        <f t="shared" si="5"/>
        <v>1653.316787</v>
      </c>
      <c r="P45" s="7">
        <f t="shared" si="6"/>
        <v>1861.516568</v>
      </c>
    </row>
    <row r="46">
      <c r="A46" s="5">
        <v>1.442307692</v>
      </c>
      <c r="B46" s="9"/>
      <c r="C46" s="9"/>
      <c r="D46" s="9"/>
      <c r="E46" s="6">
        <v>1.33629E-7</v>
      </c>
      <c r="F46" s="9"/>
      <c r="G46" s="6">
        <v>1.42504E-7</v>
      </c>
      <c r="N46" s="7">
        <f t="shared" si="4"/>
        <v>2259.928569</v>
      </c>
      <c r="P46" s="7">
        <f t="shared" si="6"/>
        <v>2410.022232</v>
      </c>
    </row>
    <row r="47">
      <c r="A47" s="5">
        <v>1.474358974</v>
      </c>
      <c r="B47" s="9"/>
      <c r="C47" s="9"/>
      <c r="D47" s="9"/>
      <c r="E47" s="6">
        <v>2.26686E-7</v>
      </c>
      <c r="F47" s="9"/>
      <c r="G47" s="6">
        <v>1.70412E-7</v>
      </c>
      <c r="N47" s="7">
        <f t="shared" si="4"/>
        <v>3833.705016</v>
      </c>
      <c r="P47" s="7">
        <f t="shared" si="6"/>
        <v>2882.001267</v>
      </c>
    </row>
    <row r="49">
      <c r="C49" s="6">
        <v>4.60573E-8</v>
      </c>
    </row>
    <row r="50">
      <c r="C50" s="6">
        <v>3.65968E-8</v>
      </c>
    </row>
  </sheetData>
  <drawing r:id="rId1"/>
</worksheet>
</file>